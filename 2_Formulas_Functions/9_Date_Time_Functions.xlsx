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04_DataAnalytics\Excel\Excel_Data_Analytics_Course-main\2_Formulas_Functions\"/>
    </mc:Choice>
  </mc:AlternateContent>
  <xr:revisionPtr revIDLastSave="0" documentId="13_ncr:1_{2AA120D7-EA57-4AF3-9C3A-D1041C3D876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" i="8"/>
  <c r="P2" i="8"/>
  <c r="R3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J3" i="8"/>
  <c r="K3" i="8"/>
  <c r="L3" i="8"/>
  <c r="J4" i="8"/>
  <c r="K4" i="8"/>
  <c r="L4" i="8"/>
  <c r="J5" i="8"/>
  <c r="K5" i="8"/>
  <c r="L5" i="8"/>
  <c r="J6" i="8"/>
  <c r="K6" i="8"/>
  <c r="L6" i="8"/>
  <c r="J7" i="8"/>
  <c r="K7" i="8"/>
  <c r="L7" i="8"/>
  <c r="J8" i="8"/>
  <c r="K8" i="8"/>
  <c r="L8" i="8"/>
  <c r="J9" i="8"/>
  <c r="K9" i="8"/>
  <c r="L9" i="8"/>
  <c r="J10" i="8"/>
  <c r="K10" i="8"/>
  <c r="L10" i="8"/>
  <c r="J11" i="8"/>
  <c r="K11" i="8"/>
  <c r="L11" i="8"/>
  <c r="J12" i="8"/>
  <c r="K12" i="8"/>
  <c r="L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K18" i="8"/>
  <c r="L18" i="8"/>
  <c r="J19" i="8"/>
  <c r="K19" i="8"/>
  <c r="L19" i="8"/>
  <c r="J20" i="8"/>
  <c r="K20" i="8"/>
  <c r="L20" i="8"/>
  <c r="J21" i="8"/>
  <c r="K21" i="8"/>
  <c r="L21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6" i="8" l="1"/>
  <c r="R18" i="8"/>
  <c r="R12" i="8"/>
  <c r="R11" i="8"/>
  <c r="R17" i="8"/>
  <c r="R15" i="8"/>
  <c r="R13" i="8"/>
  <c r="R10" i="8"/>
  <c r="R9" i="8"/>
  <c r="R8" i="8"/>
  <c r="R7" i="8"/>
  <c r="R14" i="8"/>
  <c r="R6" i="8"/>
  <c r="R5" i="8"/>
  <c r="R20" i="8"/>
  <c r="R4" i="8"/>
  <c r="R2" i="8"/>
  <c r="R21" i="8"/>
  <c r="R19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<sst xmlns="http://schemas.openxmlformats.org/spreadsheetml/2006/main" count="471" uniqueCount="97">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</sst>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2" borderId="9" xfId="0" applyFont="1" applyFill="1" applyBorder="1"/>
    <xf numFmtId="0" fontId="0" fillId="0" borderId="10" xfId="0" applyBorder="1"/>
    <xf numFmtId="0" fontId="1" fillId="3" borderId="1" xfId="0" applyFont="1" applyFill="1" applyBorder="1"/>
    <xf numFmtId="0" fontId="1" fillId="2" borderId="1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5-49FD-8A55-3373FD08B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529184"/>
        <c:axId val="91531584"/>
      </c:barChart>
      <c:catAx>
        <c:axId val="9152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31584"/>
        <c:crosses val="autoZero"/>
        <c:auto val="1"/>
        <c:lblAlgn val="ctr"/>
        <c:lblOffset val="100"/>
        <c:noMultiLvlLbl val="0"/>
      </c:catAx>
      <c:valAx>
        <c:axId val="9153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2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25</xdr:row>
      <xdr:rowOff>160020</xdr:rowOff>
    </xdr:from>
    <xdr:to>
      <xdr:col>27</xdr:col>
      <xdr:colOff>396240</xdr:colOff>
      <xdr:row>49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AAD79-3C51-9B57-1D9D-1C53F1A1B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A22" workbookViewId="0">
      <selection activeCell="AE44" sqref="AE44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3" width="8.88671875" hidden="1" customWidth="1"/>
    <col min="14" max="14" width="14.21875" hidden="1" customWidth="1"/>
    <col min="15" max="15" width="8.88671875" hidden="1" customWidth="1"/>
    <col min="16" max="16" width="10.33203125" hidden="1" customWidth="1"/>
    <col min="17" max="17" width="8.88671875" hidden="1" customWidth="1"/>
    <col min="18" max="18" width="16" hidden="1" customWidth="1"/>
    <col min="19" max="22" width="8.88671875" hidden="1" customWidth="1"/>
    <col min="23" max="23" width="8.88671875" customWidth="1"/>
    <col min="24" max="25" width="15.21875" bestFit="1" customWidth="1"/>
    <col min="26" max="26" width="8.88671875" customWidth="1"/>
    <col min="27" max="27" width="13.109375" bestFit="1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17" t="s">
        <v>4</v>
      </c>
      <c r="I1" s="19" t="s">
        <v>96</v>
      </c>
      <c r="J1" s="20" t="s">
        <v>84</v>
      </c>
      <c r="K1" s="20" t="s">
        <v>88</v>
      </c>
      <c r="L1" s="20" t="s">
        <v>85</v>
      </c>
      <c r="M1" s="1"/>
      <c r="N1" s="20" t="s">
        <v>22</v>
      </c>
      <c r="O1" s="1"/>
      <c r="P1" s="20" t="s">
        <v>87</v>
      </c>
      <c r="Q1" s="1"/>
      <c r="R1" s="20" t="s">
        <v>89</v>
      </c>
      <c r="S1" s="1"/>
      <c r="T1" s="20" t="s">
        <v>90</v>
      </c>
      <c r="U1" s="20" t="s">
        <v>91</v>
      </c>
      <c r="V1" s="20" t="s">
        <v>92</v>
      </c>
      <c r="W1" s="1"/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18" t="s">
        <v>11</v>
      </c>
      <c r="I2" s="1">
        <f>HOUR($D2)</f>
        <v>15</v>
      </c>
      <c r="J2" s="1">
        <f>MONTH($D2)</f>
        <v>2</v>
      </c>
      <c r="K2" s="1">
        <f>DAY($D2)</f>
        <v>14</v>
      </c>
      <c r="L2" s="1">
        <f>YEAR($D2)</f>
        <v>2023</v>
      </c>
      <c r="M2" s="1"/>
      <c r="N2" s="21">
        <f>DATE($L2,$J2,$K2)</f>
        <v>44971</v>
      </c>
      <c r="O2" s="1"/>
      <c r="P2" s="21">
        <f ca="1">TODAY()</f>
        <v>46143</v>
      </c>
      <c r="Q2" s="1"/>
      <c r="R2" s="1">
        <f ca="1">$P$2-$N2</f>
        <v>1172</v>
      </c>
      <c r="S2" s="1"/>
      <c r="T2" s="1"/>
      <c r="U2" s="1"/>
      <c r="V2" s="1"/>
      <c r="W2" s="1"/>
      <c r="X2" s="13"/>
      <c r="AA2" cm="1">
        <f t="array" ref="AA2:AA25">_xlfn.SEQUENCE(24,,1,1)</f>
        <v>1</v>
      </c>
      <c r="AB2">
        <f>COUNTIF($I$2:$I$21,$AA2)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I3" s="1">
        <f t="shared" ref="I3:I21" si="0">HOUR($D3)</f>
        <v>9</v>
      </c>
      <c r="J3">
        <f t="shared" ref="J3:J21" si="1">MONTH($D3)</f>
        <v>5</v>
      </c>
      <c r="K3">
        <f t="shared" ref="K3:K21" si="2">DAY($D3)</f>
        <v>9</v>
      </c>
      <c r="L3">
        <f t="shared" ref="L3:L21" si="3">YEAR($D3)</f>
        <v>2023</v>
      </c>
      <c r="N3" s="9">
        <f t="shared" ref="N3:N21" si="4">DATE($L3,$J3,$K3)</f>
        <v>45055</v>
      </c>
      <c r="R3">
        <f t="shared" ref="R3:R21" ca="1" si="5">$P$2-$N3</f>
        <v>1088</v>
      </c>
      <c r="X3" s="13"/>
      <c r="AA3">
        <v>2</v>
      </c>
      <c r="AB3">
        <f t="shared" ref="AB3:AB25" si="6">COUNTIF($I$2:$I$21,$AA3)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I4" s="1">
        <f t="shared" si="0"/>
        <v>17</v>
      </c>
      <c r="J4">
        <f t="shared" si="1"/>
        <v>7</v>
      </c>
      <c r="K4">
        <f t="shared" si="2"/>
        <v>21</v>
      </c>
      <c r="L4">
        <f t="shared" si="3"/>
        <v>2023</v>
      </c>
      <c r="N4" s="9">
        <f t="shared" si="4"/>
        <v>45128</v>
      </c>
      <c r="R4">
        <f t="shared" ca="1" si="5"/>
        <v>1015</v>
      </c>
      <c r="X4" s="13"/>
      <c r="AA4">
        <v>3</v>
      </c>
      <c r="AB4">
        <f t="shared" si="6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I5" s="1">
        <f t="shared" si="0"/>
        <v>7</v>
      </c>
      <c r="J5">
        <f t="shared" si="1"/>
        <v>9</v>
      </c>
      <c r="K5">
        <f t="shared" si="2"/>
        <v>4</v>
      </c>
      <c r="L5">
        <f t="shared" si="3"/>
        <v>2023</v>
      </c>
      <c r="N5" s="9">
        <f t="shared" si="4"/>
        <v>45173</v>
      </c>
      <c r="R5">
        <f t="shared" ca="1" si="5"/>
        <v>970</v>
      </c>
      <c r="X5" s="13"/>
      <c r="AA5">
        <v>4</v>
      </c>
      <c r="AB5">
        <f t="shared" si="6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I6" s="1">
        <f t="shared" si="0"/>
        <v>17</v>
      </c>
      <c r="J6">
        <f t="shared" si="1"/>
        <v>11</v>
      </c>
      <c r="K6">
        <f t="shared" si="2"/>
        <v>18</v>
      </c>
      <c r="L6">
        <f t="shared" si="3"/>
        <v>2023</v>
      </c>
      <c r="N6" s="9">
        <f t="shared" si="4"/>
        <v>45248</v>
      </c>
      <c r="R6">
        <f t="shared" ca="1" si="5"/>
        <v>895</v>
      </c>
      <c r="X6" s="13"/>
      <c r="AA6">
        <v>5</v>
      </c>
      <c r="AB6">
        <f t="shared" si="6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I7" s="1">
        <f t="shared" si="0"/>
        <v>12</v>
      </c>
      <c r="J7">
        <f t="shared" si="1"/>
        <v>1</v>
      </c>
      <c r="K7">
        <f t="shared" si="2"/>
        <v>11</v>
      </c>
      <c r="L7">
        <f t="shared" si="3"/>
        <v>2024</v>
      </c>
      <c r="N7" s="9">
        <f t="shared" si="4"/>
        <v>45302</v>
      </c>
      <c r="R7">
        <f t="shared" ca="1" si="5"/>
        <v>841</v>
      </c>
      <c r="X7" s="13"/>
      <c r="AA7">
        <v>6</v>
      </c>
      <c r="AB7">
        <f t="shared" si="6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I8" s="1">
        <f t="shared" si="0"/>
        <v>16</v>
      </c>
      <c r="J8">
        <f t="shared" si="1"/>
        <v>3</v>
      </c>
      <c r="K8">
        <f t="shared" si="2"/>
        <v>3</v>
      </c>
      <c r="L8">
        <f t="shared" si="3"/>
        <v>2024</v>
      </c>
      <c r="N8" s="9">
        <f t="shared" si="4"/>
        <v>45354</v>
      </c>
      <c r="R8">
        <f t="shared" ca="1" si="5"/>
        <v>789</v>
      </c>
      <c r="X8" s="13"/>
      <c r="AA8">
        <v>7</v>
      </c>
      <c r="AB8">
        <f t="shared" si="6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I9" s="1">
        <f t="shared" si="0"/>
        <v>8</v>
      </c>
      <c r="J9">
        <f t="shared" si="1"/>
        <v>4</v>
      </c>
      <c r="K9">
        <f t="shared" si="2"/>
        <v>26</v>
      </c>
      <c r="L9">
        <f t="shared" si="3"/>
        <v>2024</v>
      </c>
      <c r="N9" s="9">
        <f t="shared" si="4"/>
        <v>45408</v>
      </c>
      <c r="R9">
        <f t="shared" ca="1" si="5"/>
        <v>735</v>
      </c>
      <c r="X9" s="13"/>
      <c r="AA9">
        <v>8</v>
      </c>
      <c r="AB9">
        <f t="shared" si="6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I10" s="1">
        <f t="shared" si="0"/>
        <v>17</v>
      </c>
      <c r="J10">
        <f t="shared" si="1"/>
        <v>6</v>
      </c>
      <c r="K10">
        <f t="shared" si="2"/>
        <v>15</v>
      </c>
      <c r="L10">
        <f t="shared" si="3"/>
        <v>2024</v>
      </c>
      <c r="N10" s="9">
        <f t="shared" si="4"/>
        <v>45458</v>
      </c>
      <c r="R10">
        <f t="shared" ca="1" si="5"/>
        <v>685</v>
      </c>
      <c r="X10" s="13"/>
      <c r="AA10">
        <v>9</v>
      </c>
      <c r="AB10">
        <f t="shared" si="6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I11" s="1">
        <f t="shared" si="0"/>
        <v>14</v>
      </c>
      <c r="J11">
        <f t="shared" si="1"/>
        <v>7</v>
      </c>
      <c r="K11">
        <f t="shared" si="2"/>
        <v>7</v>
      </c>
      <c r="L11">
        <f t="shared" si="3"/>
        <v>2024</v>
      </c>
      <c r="N11" s="9">
        <f t="shared" si="4"/>
        <v>45480</v>
      </c>
      <c r="R11">
        <f t="shared" ca="1" si="5"/>
        <v>663</v>
      </c>
      <c r="X11" s="13"/>
      <c r="AA11">
        <v>10</v>
      </c>
      <c r="AB11">
        <f t="shared" si="6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I12" s="1">
        <f t="shared" si="0"/>
        <v>6</v>
      </c>
      <c r="J12">
        <f t="shared" si="1"/>
        <v>6</v>
      </c>
      <c r="K12">
        <f t="shared" si="2"/>
        <v>12</v>
      </c>
      <c r="L12">
        <f t="shared" si="3"/>
        <v>2024</v>
      </c>
      <c r="N12" s="9">
        <f t="shared" si="4"/>
        <v>45455</v>
      </c>
      <c r="R12">
        <f t="shared" ca="1" si="5"/>
        <v>688</v>
      </c>
      <c r="X12" s="13"/>
      <c r="AA12">
        <v>11</v>
      </c>
      <c r="AB12">
        <f t="shared" si="6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I13" s="1">
        <f t="shared" si="0"/>
        <v>13</v>
      </c>
      <c r="J13">
        <f t="shared" si="1"/>
        <v>1</v>
      </c>
      <c r="K13">
        <f t="shared" si="2"/>
        <v>25</v>
      </c>
      <c r="L13">
        <f t="shared" si="3"/>
        <v>2023</v>
      </c>
      <c r="N13" s="9">
        <f t="shared" si="4"/>
        <v>44951</v>
      </c>
      <c r="R13">
        <f t="shared" ca="1" si="5"/>
        <v>1192</v>
      </c>
      <c r="X13" s="13"/>
      <c r="AA13">
        <v>12</v>
      </c>
      <c r="AB13">
        <f t="shared" si="6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I14" s="1">
        <f t="shared" si="0"/>
        <v>11</v>
      </c>
      <c r="J14">
        <f t="shared" si="1"/>
        <v>3</v>
      </c>
      <c r="K14">
        <f t="shared" si="2"/>
        <v>17</v>
      </c>
      <c r="L14">
        <f t="shared" si="3"/>
        <v>2023</v>
      </c>
      <c r="N14" s="9">
        <f t="shared" si="4"/>
        <v>45002</v>
      </c>
      <c r="R14">
        <f t="shared" ca="1" si="5"/>
        <v>1141</v>
      </c>
      <c r="X14" s="13"/>
      <c r="AA14">
        <v>13</v>
      </c>
      <c r="AB14">
        <f t="shared" si="6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I15" s="1">
        <f t="shared" si="0"/>
        <v>10</v>
      </c>
      <c r="J15">
        <f t="shared" si="1"/>
        <v>6</v>
      </c>
      <c r="K15">
        <f t="shared" si="2"/>
        <v>1</v>
      </c>
      <c r="L15">
        <f t="shared" si="3"/>
        <v>2023</v>
      </c>
      <c r="N15" s="9">
        <f t="shared" si="4"/>
        <v>45078</v>
      </c>
      <c r="R15">
        <f t="shared" ca="1" si="5"/>
        <v>1065</v>
      </c>
      <c r="X15" s="13"/>
      <c r="AA15">
        <v>14</v>
      </c>
      <c r="AB15">
        <f t="shared" si="6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I16" s="1">
        <f t="shared" si="0"/>
        <v>17</v>
      </c>
      <c r="J16">
        <f t="shared" si="1"/>
        <v>8</v>
      </c>
      <c r="K16">
        <f t="shared" si="2"/>
        <v>30</v>
      </c>
      <c r="L16">
        <f t="shared" si="3"/>
        <v>2023</v>
      </c>
      <c r="N16" s="9">
        <f t="shared" si="4"/>
        <v>45168</v>
      </c>
      <c r="R16">
        <f t="shared" ca="1" si="5"/>
        <v>975</v>
      </c>
      <c r="X16" s="13"/>
      <c r="AA16">
        <v>15</v>
      </c>
      <c r="AB16">
        <f t="shared" si="6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I17" s="1">
        <f t="shared" si="0"/>
        <v>7</v>
      </c>
      <c r="J17">
        <f t="shared" si="1"/>
        <v>10</v>
      </c>
      <c r="K17">
        <f t="shared" si="2"/>
        <v>19</v>
      </c>
      <c r="L17">
        <f t="shared" si="3"/>
        <v>2023</v>
      </c>
      <c r="N17" s="9">
        <f t="shared" si="4"/>
        <v>45218</v>
      </c>
      <c r="R17">
        <f t="shared" ca="1" si="5"/>
        <v>925</v>
      </c>
      <c r="X17" s="13"/>
      <c r="AA17">
        <v>16</v>
      </c>
      <c r="AB17">
        <f t="shared" si="6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I18" s="1">
        <f t="shared" si="0"/>
        <v>17</v>
      </c>
      <c r="J18">
        <f t="shared" si="1"/>
        <v>2</v>
      </c>
      <c r="K18">
        <f t="shared" si="2"/>
        <v>28</v>
      </c>
      <c r="L18">
        <f t="shared" si="3"/>
        <v>2024</v>
      </c>
      <c r="N18" s="9">
        <f t="shared" si="4"/>
        <v>45350</v>
      </c>
      <c r="R18">
        <f t="shared" ca="1" si="5"/>
        <v>793</v>
      </c>
      <c r="X18" s="13"/>
      <c r="AA18">
        <v>17</v>
      </c>
      <c r="AB18">
        <f t="shared" si="6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I19" s="1">
        <f t="shared" si="0"/>
        <v>17</v>
      </c>
      <c r="J19">
        <f t="shared" si="1"/>
        <v>5</v>
      </c>
      <c r="K19">
        <f t="shared" si="2"/>
        <v>6</v>
      </c>
      <c r="L19">
        <f t="shared" si="3"/>
        <v>2024</v>
      </c>
      <c r="N19" s="9">
        <f t="shared" si="4"/>
        <v>45418</v>
      </c>
      <c r="R19">
        <f t="shared" ca="1" si="5"/>
        <v>725</v>
      </c>
      <c r="X19" s="13"/>
      <c r="AA19">
        <v>18</v>
      </c>
      <c r="AB19">
        <f t="shared" si="6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I20" s="1">
        <f t="shared" si="0"/>
        <v>7</v>
      </c>
      <c r="J20">
        <f t="shared" si="1"/>
        <v>7</v>
      </c>
      <c r="K20">
        <f t="shared" si="2"/>
        <v>23</v>
      </c>
      <c r="L20">
        <f t="shared" si="3"/>
        <v>2024</v>
      </c>
      <c r="N20" s="9">
        <f t="shared" si="4"/>
        <v>45496</v>
      </c>
      <c r="R20">
        <f t="shared" ca="1" si="5"/>
        <v>647</v>
      </c>
      <c r="X20" s="13"/>
      <c r="AA20">
        <v>19</v>
      </c>
      <c r="AB20">
        <f t="shared" si="6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I21" s="1">
        <f t="shared" si="0"/>
        <v>17</v>
      </c>
      <c r="J21">
        <f t="shared" si="1"/>
        <v>5</v>
      </c>
      <c r="K21">
        <f t="shared" si="2"/>
        <v>10</v>
      </c>
      <c r="L21">
        <f t="shared" si="3"/>
        <v>2024</v>
      </c>
      <c r="N21" s="9">
        <f t="shared" si="4"/>
        <v>45422</v>
      </c>
      <c r="R21">
        <f t="shared" ca="1" si="5"/>
        <v>721</v>
      </c>
      <c r="X21" s="13"/>
      <c r="AA21">
        <v>20</v>
      </c>
      <c r="AB21">
        <f t="shared" si="6"/>
        <v>0</v>
      </c>
    </row>
    <row r="22" spans="1:28" x14ac:dyDescent="0.3">
      <c r="AA22">
        <v>21</v>
      </c>
      <c r="AB22">
        <f t="shared" si="6"/>
        <v>0</v>
      </c>
    </row>
    <row r="23" spans="1:28" x14ac:dyDescent="0.3">
      <c r="AA23">
        <v>22</v>
      </c>
      <c r="AB23">
        <f t="shared" si="6"/>
        <v>0</v>
      </c>
    </row>
    <row r="24" spans="1:28" x14ac:dyDescent="0.3">
      <c r="AA24">
        <v>23</v>
      </c>
      <c r="AB24">
        <f t="shared" si="6"/>
        <v>0</v>
      </c>
    </row>
    <row r="25" spans="1:28" x14ac:dyDescent="0.3">
      <c r="AA25">
        <v>24</v>
      </c>
      <c r="AB25">
        <f t="shared" si="6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46143</v>
      </c>
      <c r="R2">
        <f ca="1">DATEDIF(D2,$P$2,"D")</f>
        <v>1172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1088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1015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970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895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841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789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735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685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663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688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1192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1141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1065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975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925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793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725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647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SuBhAm 6G</cp:lastModifiedBy>
  <dcterms:created xsi:type="dcterms:W3CDTF">2015-06-05T18:17:20Z</dcterms:created>
  <dcterms:modified xsi:type="dcterms:W3CDTF">2026-05-01T16:08:38Z</dcterms:modified>
</cp:coreProperties>
</file>