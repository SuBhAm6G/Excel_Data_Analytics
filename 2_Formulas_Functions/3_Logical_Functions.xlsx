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04_DataAnalytics\Excel\Excel_Data_Analytics_Course-main\2_Formulas_Functions\"/>
    </mc:Choice>
  </mc:AlternateContent>
  <xr:revisionPtr revIDLastSave="0" documentId="13_ncr:1_{C6628A5C-8E0B-431D-A492-321844FBEAEE}" xr6:coauthVersionLast="47" xr6:coauthVersionMax="47" xr10:uidLastSave="{00000000-0000-0000-0000-000000000000}"/>
  <bookViews>
    <workbookView xWindow="-108" yWindow="-108" windowWidth="23256" windowHeight="13176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0" l="1" a="1"/>
  <c r="R3" i="10" s="1"/>
  <c r="R4" i="10" a="1"/>
  <c r="R4" i="10" s="1"/>
  <c r="R5" i="10" a="1"/>
  <c r="R5" i="10" s="1"/>
  <c r="R6" i="10" a="1"/>
  <c r="R6" i="10" s="1"/>
  <c r="R7" i="10" a="1"/>
  <c r="R7" i="10" s="1"/>
  <c r="R8" i="10" a="1"/>
  <c r="R8" i="10" s="1"/>
  <c r="R9" i="10" a="1"/>
  <c r="R9" i="10"/>
  <c r="R10" i="10" a="1"/>
  <c r="R10" i="10" s="1"/>
  <c r="R11" i="10" a="1"/>
  <c r="R11" i="10" s="1"/>
  <c r="R12" i="10" a="1"/>
  <c r="R12" i="10" s="1"/>
  <c r="R13" i="10" a="1"/>
  <c r="R13" i="10" s="1"/>
  <c r="R14" i="10" a="1"/>
  <c r="R14" i="10" s="1"/>
  <c r="R15" i="10" a="1"/>
  <c r="R15" i="10" s="1"/>
  <c r="R16" i="10" a="1"/>
  <c r="R16" i="10"/>
  <c r="R17" i="10" a="1"/>
  <c r="R17" i="10" s="1"/>
  <c r="R18" i="10" a="1"/>
  <c r="R18" i="10"/>
  <c r="R19" i="10" a="1"/>
  <c r="R19" i="10" s="1"/>
  <c r="R20" i="10" a="1"/>
  <c r="R20" i="10" s="1"/>
  <c r="R21" i="10" a="1"/>
  <c r="R21" i="10" s="1"/>
  <c r="R2" i="10" a="1"/>
  <c r="R2" i="10" s="1"/>
  <c r="Q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N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2" i="10"/>
  <c r="K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Q12" i="7"/>
  <c r="Q4" i="7"/>
  <c r="Q5" i="7"/>
  <c r="Q6" i="7"/>
  <c r="Q7" i="7"/>
  <c r="Q8" i="7"/>
  <c r="Q9" i="7"/>
  <c r="Q10" i="7"/>
  <c r="Q11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<sst xmlns="http://schemas.openxmlformats.org/spreadsheetml/2006/main" count="395" uniqueCount="144">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</sst>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R8" sqref="R8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8.21875" style="1" bestFit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customWidth="1"/>
    <col min="13" max="13" width="9.109375" style="1" customWidth="1"/>
    <col min="14" max="14" width="10.44140625" style="1" hidden="1" customWidth="1"/>
    <col min="15" max="15" width="14.109375" style="1" hidden="1" customWidth="1"/>
    <col min="16" max="16" width="9.6640625" style="1" customWidth="1"/>
    <col min="17" max="17" width="9.109375" style="1"/>
    <col min="18" max="18" width="14.109375" style="1" bestFit="1" customWidth="1"/>
    <col min="19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IF(P3,"IS MET", "NOT MET")</f>
        <v>IS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1" si="11">IF(P4,"IS MET", 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IS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IS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IS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IS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>IF(P12,"IS MET", "NOT MET")</f>
        <v>IS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hidden="1" customWidth="1"/>
    <col min="13" max="13" width="9.109375" style="1" hidden="1" customWidth="1"/>
    <col min="14" max="14" width="10.44140625" style="1" hidden="1" customWidth="1"/>
    <col min="15" max="15" width="14.109375" style="1" hidden="1" customWidth="1"/>
    <col min="16" max="16" width="9.6640625" style="1" hidden="1" customWidth="1"/>
    <col min="17" max="17" width="9.6640625" style="1" customWidth="1"/>
    <col min="18" max="18" width="9.109375" style="1"/>
    <col min="19" max="19" width="14.109375" style="1" bestFit="1" customWidth="1"/>
    <col min="20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AC9" sqref="AC9"/>
    </sheetView>
  </sheetViews>
  <sheetFormatPr defaultRowHeight="14.4" x14ac:dyDescent="0.3"/>
  <cols>
    <col min="1" max="1" width="17.77734375" bestFit="1" customWidth="1"/>
    <col min="2" max="2" width="18" hidden="1" customWidth="1"/>
    <col min="3" max="3" width="23" hidden="1" customWidth="1"/>
    <col min="4" max="4" width="11.5546875" hidden="1" customWidth="1"/>
    <col min="5" max="5" width="39.6640625" hidden="1" customWidth="1"/>
    <col min="6" max="6" width="15.109375" hidden="1" customWidth="1"/>
    <col min="7" max="7" width="19.5546875" hidden="1" customWidth="1"/>
    <col min="8" max="8" width="14.6640625" customWidth="1"/>
    <col min="9" max="9" width="20.21875" hidden="1" customWidth="1"/>
    <col min="10" max="10" width="70" hidden="1" customWidth="1"/>
    <col min="11" max="11" width="11.88671875" hidden="1" customWidth="1"/>
    <col min="12" max="12" width="14.88671875" hidden="1" customWidth="1"/>
    <col min="13" max="13" width="11.88671875" hidden="1" customWidth="1"/>
    <col min="14" max="14" width="7.109375" hidden="1" customWidth="1"/>
    <col min="15" max="15" width="6" hidden="1" customWidth="1"/>
    <col min="16" max="16" width="9.88671875" hidden="1" customWidth="1"/>
    <col min="17" max="18" width="11.44140625" bestFit="1" customWidth="1"/>
  </cols>
  <sheetData>
    <row r="1" spans="1:18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3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IF($A2=K$1,"DESIRED", "NOT DESIRED")</f>
        <v>NOT DESIRED</v>
      </c>
      <c r="L2" t="str">
        <f>IF($A2=L$1,"DESIRED", "NOT DESIRED")</f>
        <v>NOT DESIRED</v>
      </c>
      <c r="M2" t="str">
        <f>IF($A2=K$1,"DESIRED",IF($A2=L$1,"DESIRED", "NOT DESIRED"))</f>
        <v>NOT DESIRED</v>
      </c>
      <c r="N2" t="b">
        <f>AND(A2=$K$1, A2=$L$1)</f>
        <v>0</v>
      </c>
      <c r="O2" t="b">
        <f>OR(A2=$K$1, A2=$L$1)</f>
        <v>0</v>
      </c>
      <c r="P2" t="str">
        <f>IF(OR(A2=$K$1, A2=$L$1), "DESIRED", "NOT DESIRED")</f>
        <v>NOT DESIRED</v>
      </c>
      <c r="Q2" t="str">
        <f>IF($H2&gt;=$Q$1, "SALARY&gt;85K","LOW SALARY")</f>
        <v>SALARY&gt;85K</v>
      </c>
      <c r="R2" t="str" cm="1">
        <f t="array" ref="R2">_xlfn.IFS($H2="", "NO DATA", $H2&lt;=$Q$1, "SALARY LOW", $H2&gt;$Q$1, "SALARY&gt;85K")</f>
        <v>SALARY&gt;85K</v>
      </c>
    </row>
    <row r="3" spans="1:18" x14ac:dyDescent="0.3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0">IF($A3=K$1,"DESIRED", "NOT DESIRED")</f>
        <v>DESIRED</v>
      </c>
      <c r="L3" t="str">
        <f t="shared" si="0"/>
        <v>NOT DESIRED</v>
      </c>
      <c r="M3" t="str">
        <f t="shared" ref="M3:M21" si="1">IF($A3=K$1,"DESIRED",IF($A3=L$1,"DESIRED", "NOT DESIRED"))</f>
        <v>DESIRED</v>
      </c>
      <c r="N3" t="b">
        <f t="shared" ref="N3:N21" si="2">AND(A3=$K$1, A3=$L$1)</f>
        <v>0</v>
      </c>
      <c r="O3" t="b">
        <f t="shared" ref="O3:O21" si="3">OR(A3=$K$1, A3=$L$1)</f>
        <v>1</v>
      </c>
      <c r="P3" t="str">
        <f t="shared" ref="P3:P21" si="4">IF(OR(A3=$K$1, A3=$L$1), "DESIRED", "NOT DESIRED")</f>
        <v>DESIRED</v>
      </c>
      <c r="Q3" t="str">
        <f t="shared" ref="Q3:Q21" si="5">IF($H3&gt;=$Q$1, "SALARY&gt;85K","LOW SALARY")</f>
        <v>LOW SALARY</v>
      </c>
      <c r="R3" t="str" cm="1">
        <f t="array" ref="R3">_xlfn.IFS($H3="", "NO DATA", $H3&lt;=$Q$1, "SALARY LOW", $H3&gt;$Q$1, "SALARY&gt;85K")</f>
        <v>SALARY LOW</v>
      </c>
    </row>
    <row r="4" spans="1:18" x14ac:dyDescent="0.3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DESIRED</v>
      </c>
      <c r="L4" t="str">
        <f t="shared" si="0"/>
        <v>NOT DESIRED</v>
      </c>
      <c r="M4" t="str">
        <f t="shared" si="1"/>
        <v>DESIRED</v>
      </c>
      <c r="N4" t="b">
        <f t="shared" si="2"/>
        <v>0</v>
      </c>
      <c r="O4" t="b">
        <f t="shared" si="3"/>
        <v>1</v>
      </c>
      <c r="P4" t="str">
        <f t="shared" si="4"/>
        <v>DESIRED</v>
      </c>
      <c r="Q4" t="str">
        <f t="shared" si="5"/>
        <v>LOW SALARY</v>
      </c>
      <c r="R4" t="str" cm="1">
        <f t="array" ref="R4">_xlfn.IFS($H4="", "NO DATA", $H4&lt;=$Q$1, "SALARY LOW", $H4&gt;$Q$1, "SALARY&gt;85K")</f>
        <v>NO DATA</v>
      </c>
    </row>
    <row r="5" spans="1:18" x14ac:dyDescent="0.3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LOW SALARY</v>
      </c>
      <c r="R5" t="str" cm="1">
        <f t="array" ref="R5">_xlfn.IFS($H5="", "NO DATA", $H5&lt;=$Q$1, "SALARY LOW", $H5&gt;$Q$1, "SALARY&gt;85K")</f>
        <v>NO DATA</v>
      </c>
    </row>
    <row r="6" spans="1:18" x14ac:dyDescent="0.3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LOW SALARY</v>
      </c>
      <c r="R6" t="str" cm="1">
        <f t="array" ref="R6">_xlfn.IFS($H6="", "NO DATA", $H6&lt;=$Q$1, "SALARY LOW", $H6&gt;$Q$1, "SALARY&gt;85K")</f>
        <v>NO DATA</v>
      </c>
    </row>
    <row r="7" spans="1:18" x14ac:dyDescent="0.3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LOW SALARY</v>
      </c>
      <c r="R7" t="str" cm="1">
        <f t="array" ref="R7">_xlfn.IFS($H7="", "NO DATA", $H7&lt;=$Q$1, "SALARY LOW", $H7&gt;$Q$1, "SALARY&gt;85K")</f>
        <v>NO DATA</v>
      </c>
    </row>
    <row r="8" spans="1:18" x14ac:dyDescent="0.3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DESIRED</v>
      </c>
      <c r="L8" t="str">
        <f t="shared" si="0"/>
        <v>NOT DESIRED</v>
      </c>
      <c r="M8" t="str">
        <f t="shared" si="1"/>
        <v>DESIRED</v>
      </c>
      <c r="N8" t="b">
        <f t="shared" si="2"/>
        <v>0</v>
      </c>
      <c r="O8" t="b">
        <f t="shared" si="3"/>
        <v>1</v>
      </c>
      <c r="P8" t="str">
        <f t="shared" si="4"/>
        <v>DESIRED</v>
      </c>
      <c r="Q8" t="str">
        <f t="shared" si="5"/>
        <v>LOW SALARY</v>
      </c>
      <c r="R8" t="str" cm="1">
        <f t="array" ref="R8">_xlfn.IFS($H8="", "NO DATA", $H8&lt;=$Q$1, "SALARY LOW", $H8&gt;$Q$1, "SALARY&gt;85K")</f>
        <v>NO DATA</v>
      </c>
    </row>
    <row r="9" spans="1:18" x14ac:dyDescent="0.3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DESIRED</v>
      </c>
      <c r="L9" t="str">
        <f t="shared" si="0"/>
        <v>NOT DESIRED</v>
      </c>
      <c r="M9" t="str">
        <f t="shared" si="1"/>
        <v>DESIRED</v>
      </c>
      <c r="N9" t="b">
        <f t="shared" si="2"/>
        <v>0</v>
      </c>
      <c r="O9" t="b">
        <f t="shared" si="3"/>
        <v>1</v>
      </c>
      <c r="P9" t="str">
        <f t="shared" si="4"/>
        <v>DESIRED</v>
      </c>
      <c r="Q9" t="str">
        <f t="shared" si="5"/>
        <v>SALARY&gt;85K</v>
      </c>
      <c r="R9" t="str" cm="1">
        <f t="array" ref="R9">_xlfn.IFS($H9="", "NO DATA", $H9&lt;=$Q$1, "SALARY LOW", $H9&gt;$Q$1, "SALARY&gt;85K")</f>
        <v>SALARY&gt;85K</v>
      </c>
    </row>
    <row r="10" spans="1:18" x14ac:dyDescent="0.3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DESIRED</v>
      </c>
      <c r="L10" t="str">
        <f t="shared" si="0"/>
        <v>NOT DESIRED</v>
      </c>
      <c r="M10" t="str">
        <f t="shared" si="1"/>
        <v>DESIRED</v>
      </c>
      <c r="N10" t="b">
        <f t="shared" si="2"/>
        <v>0</v>
      </c>
      <c r="O10" t="b">
        <f t="shared" si="3"/>
        <v>1</v>
      </c>
      <c r="P10" t="str">
        <f t="shared" si="4"/>
        <v>DESIRED</v>
      </c>
      <c r="Q10" t="str">
        <f t="shared" si="5"/>
        <v>LOW SALARY</v>
      </c>
      <c r="R10" t="str" cm="1">
        <f t="array" ref="R10">_xlfn.IFS($H10="", "NO DATA", $H10&lt;=$Q$1, "SALARY LOW", $H10&gt;$Q$1, "SALARY&gt;85K")</f>
        <v>NO DATA</v>
      </c>
    </row>
    <row r="11" spans="1:18" x14ac:dyDescent="0.3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DESIRED</v>
      </c>
      <c r="L11" t="str">
        <f t="shared" si="0"/>
        <v>NOT DESIRED</v>
      </c>
      <c r="M11" t="str">
        <f t="shared" si="1"/>
        <v>DESIRED</v>
      </c>
      <c r="N11" t="b">
        <f t="shared" si="2"/>
        <v>0</v>
      </c>
      <c r="O11" t="b">
        <f t="shared" si="3"/>
        <v>1</v>
      </c>
      <c r="P11" t="str">
        <f t="shared" si="4"/>
        <v>DESIRED</v>
      </c>
      <c r="Q11" t="str">
        <f t="shared" si="5"/>
        <v>SALARY&gt;85K</v>
      </c>
      <c r="R11" t="str" cm="1">
        <f t="array" ref="R11">_xlfn.IFS($H11="", "NO DATA", $H11&lt;=$Q$1, "SALARY LOW", $H11&gt;$Q$1, "SALARY&gt;85K")</f>
        <v>SALARY&gt;85K</v>
      </c>
    </row>
    <row r="12" spans="1:18" x14ac:dyDescent="0.3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SALARY&gt;85K</v>
      </c>
      <c r="R12" t="str" cm="1">
        <f t="array" ref="R12">_xlfn.IFS($H12="", "NO DATA", $H12&lt;=$Q$1, "SALARY LOW", $H12&gt;$Q$1, "SALARY&gt;85K")</f>
        <v>SALARY&gt;85K</v>
      </c>
    </row>
    <row r="13" spans="1:18" x14ac:dyDescent="0.3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SALARY&gt;85K</v>
      </c>
      <c r="R13" t="str" cm="1">
        <f t="array" ref="R13">_xlfn.IFS($H13="", "NO DATA", $H13&lt;=$Q$1, "SALARY LOW", $H13&gt;$Q$1, "SALARY&gt;85K")</f>
        <v>SALARY&gt;85K</v>
      </c>
    </row>
    <row r="14" spans="1:18" x14ac:dyDescent="0.3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SALARY&gt;85K</v>
      </c>
      <c r="R14" t="str" cm="1">
        <f t="array" ref="R14">_xlfn.IFS($H14="", "NO DATA", $H14&lt;=$Q$1, "SALARY LOW", $H14&gt;$Q$1, "SALARY&gt;85K")</f>
        <v>SALARY&gt;85K</v>
      </c>
    </row>
    <row r="15" spans="1:18" x14ac:dyDescent="0.3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LOW SALARY</v>
      </c>
      <c r="R15" t="str" cm="1">
        <f t="array" ref="R15">_xlfn.IFS($H15="", "NO DATA", $H15&lt;=$Q$1, "SALARY LOW", $H15&gt;$Q$1, "SALARY&gt;85K")</f>
        <v>SALARY LOW</v>
      </c>
    </row>
    <row r="16" spans="1:18" x14ac:dyDescent="0.3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SALARY&gt;85K</v>
      </c>
      <c r="R16" t="str" cm="1">
        <f t="array" ref="R16">_xlfn.IFS($H16="", "NO DATA", $H16&lt;=$Q$1, "SALARY LOW", $H16&gt;$Q$1, "SALARY&gt;85K")</f>
        <v>SALARY&gt;85K</v>
      </c>
    </row>
    <row r="17" spans="1:18" x14ac:dyDescent="0.3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SALARY&gt;85K</v>
      </c>
      <c r="R17" t="str" cm="1">
        <f t="array" ref="R17">_xlfn.IFS($H17="", "NO DATA", $H17&lt;=$Q$1, "SALARY LOW", $H17&gt;$Q$1, "SALARY&gt;85K")</f>
        <v>SALARY&gt;85K</v>
      </c>
    </row>
    <row r="18" spans="1:18" x14ac:dyDescent="0.3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0"/>
        <v>DESIRED</v>
      </c>
      <c r="M18" t="str">
        <f t="shared" si="1"/>
        <v>DESIRED</v>
      </c>
      <c r="N18" t="b">
        <f t="shared" si="2"/>
        <v>0</v>
      </c>
      <c r="O18" t="b">
        <f t="shared" si="3"/>
        <v>1</v>
      </c>
      <c r="P18" t="str">
        <f t="shared" si="4"/>
        <v>DESIRED</v>
      </c>
      <c r="Q18" t="str">
        <f t="shared" si="5"/>
        <v>LOW SALARY</v>
      </c>
      <c r="R18" t="str" cm="1">
        <f t="array" ref="R18">_xlfn.IFS($H18="", "NO DATA", $H18&lt;=$Q$1, "SALARY LOW", $H18&gt;$Q$1, "SALARY&gt;85K")</f>
        <v>NO DATA</v>
      </c>
    </row>
    <row r="19" spans="1:18" x14ac:dyDescent="0.3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SALARY&gt;85K</v>
      </c>
      <c r="R19" t="str" cm="1">
        <f t="array" ref="R19">_xlfn.IFS($H19="", "NO DATA", $H19&lt;=$Q$1, "SALARY LOW", $H19&gt;$Q$1, "SALARY&gt;85K")</f>
        <v>SALARY&gt;85K</v>
      </c>
    </row>
    <row r="20" spans="1:18" x14ac:dyDescent="0.3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LOW SALARY</v>
      </c>
      <c r="R20" t="str" cm="1">
        <f t="array" ref="R20">_xlfn.IFS($H20="", "NO DATA", $H20&lt;=$Q$1, "SALARY LOW", $H20&gt;$Q$1, "SALARY&gt;85K")</f>
        <v>NO DATA</v>
      </c>
    </row>
    <row r="21" spans="1:18" x14ac:dyDescent="0.3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0"/>
        <v>DESIRED</v>
      </c>
      <c r="M21" t="str">
        <f t="shared" si="1"/>
        <v>DESIRED</v>
      </c>
      <c r="N21" t="b">
        <f t="shared" si="2"/>
        <v>0</v>
      </c>
      <c r="O21" t="b">
        <f t="shared" si="3"/>
        <v>1</v>
      </c>
      <c r="P21" t="str">
        <f t="shared" si="4"/>
        <v>DESIRED</v>
      </c>
      <c r="Q21" t="str">
        <f t="shared" si="5"/>
        <v>SALARY&gt;85K</v>
      </c>
      <c r="R21" t="str" cm="1">
        <f t="array" ref="R21">_xlfn.IFS($H21="", "NO DATA", $H21&lt;=$Q$1, "SALARY LOW", $H21&gt;$Q$1, "SALARY&gt;85K")</f>
        <v>SALARY&gt;85K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.4" x14ac:dyDescent="0.3"/>
  <cols>
    <col min="1" max="1" width="16.88671875" bestFit="1" customWidth="1"/>
    <col min="2" max="2" width="17.4414062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5.88671875" bestFit="1" customWidth="1"/>
    <col min="12" max="12" width="19.109375" bestFit="1" customWidth="1"/>
    <col min="13" max="13" width="14.21875" bestFit="1" customWidth="1"/>
    <col min="14" max="14" width="11.21875" bestFit="1" customWidth="1"/>
    <col min="15" max="15" width="10.109375" bestFit="1" customWidth="1"/>
    <col min="16" max="16" width="14.21875" bestFit="1" customWidth="1"/>
    <col min="17" max="17" width="10.6640625" bestFit="1" customWidth="1"/>
    <col min="18" max="18" width="12.44140625" bestFit="1" customWidth="1"/>
  </cols>
  <sheetData>
    <row r="1" spans="1:18 16384:16384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3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3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3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3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3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3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3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3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3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3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3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3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3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3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3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3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3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3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3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4" x14ac:dyDescent="0.3"/>
  <cols>
    <col min="1" max="1" width="6.5546875" customWidth="1"/>
    <col min="2" max="2" width="13.44140625" customWidth="1"/>
    <col min="3" max="3" width="31.44140625" bestFit="1" customWidth="1"/>
    <col min="4" max="4" width="60.44140625" bestFit="1" customWidth="1"/>
    <col min="5" max="5" width="19.6640625" bestFit="1" customWidth="1"/>
    <col min="6" max="6" width="17.5546875" bestFit="1" customWidth="1"/>
  </cols>
  <sheetData>
    <row r="2" spans="2:6" x14ac:dyDescent="0.3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3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2" sqref="D2:E2"/>
    </sheetView>
  </sheetViews>
  <sheetFormatPr defaultRowHeight="14.4" x14ac:dyDescent="0.3"/>
  <cols>
    <col min="2" max="2" width="9.88671875" bestFit="1" customWidth="1"/>
    <col min="3" max="3" width="10.5546875" customWidth="1"/>
  </cols>
  <sheetData>
    <row r="1" spans="2:5" ht="15" thickBot="1" x14ac:dyDescent="0.35"/>
    <row r="2" spans="2:5" x14ac:dyDescent="0.3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3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3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3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 x14ac:dyDescent="0.35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SuBhAm 6G</cp:lastModifiedBy>
  <dcterms:created xsi:type="dcterms:W3CDTF">2024-07-16T20:11:02Z</dcterms:created>
  <dcterms:modified xsi:type="dcterms:W3CDTF">2026-04-29T14:08:48Z</dcterms:modified>
</cp:coreProperties>
</file>