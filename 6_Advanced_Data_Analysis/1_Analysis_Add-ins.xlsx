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04_DataAnalytics\Excel\Excel_Data_Analytics_Course-main\6_Advanced_Data_Analysis\"/>
    </mc:Choice>
  </mc:AlternateContent>
  <xr:revisionPtr revIDLastSave="0" documentId="13_ncr:1_{E06A9E38-9CD0-42DD-9447-A1634D3C8CDA}" xr6:coauthVersionLast="47" xr6:coauthVersionMax="47" xr10:uidLastSave="{00000000-0000-0000-0000-000000000000}"/>
  <bookViews>
    <workbookView xWindow="-108" yWindow="-108" windowWidth="23256" windowHeight="13176" activeTab="4" xr2:uid="{6C37AC85-509F-4D10-9DB1-F70D16D6FBAB}"/>
  </bookViews>
  <sheets>
    <sheet name="Sheet4" sheetId="19" r:id="rId1"/>
    <sheet name="Forecast_Original" sheetId="7" r:id="rId2"/>
    <sheet name="Forecast_Final" sheetId="8" state="hidden" r:id="rId3"/>
    <sheet name="Answer Report 1" sheetId="25" r:id="rId4"/>
    <sheet name="What-If_Analysis" sheetId="3" r:id="rId5"/>
    <sheet name="Scenario_Summary" sheetId="12" state="hidden" r:id="rId6"/>
    <sheet name="Answer_Report" sheetId="13" state="hidden" r:id="rId7"/>
    <sheet name="Limits_Report" sheetId="15" state="hidden" r:id="rId8"/>
    <sheet name="Scenario Summary" sheetId="24" r:id="rId9"/>
    <sheet name="Sheet1" sheetId="16" r:id="rId10"/>
  </sheets>
  <definedNames>
    <definedName name="base" localSheetId="4">'What-If_Analysis'!$C$3</definedName>
    <definedName name="bonus" localSheetId="4">'What-If_Analysis'!$C$4</definedName>
    <definedName name="raise" localSheetId="4">'What-If_Analysis'!$C$5</definedName>
    <definedName name="solver_adj" localSheetId="4" hidden="1">'What-If_Analysis'!$C$4:$C$5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'What-If_Analysis'!$C$4</definedName>
    <definedName name="solver_lhs2" localSheetId="4" hidden="1">'What-If_Analysis'!$C$5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nwt" localSheetId="4" hidden="1">1</definedName>
    <definedName name="solver_opt" localSheetId="4" hidden="1">'What-If_Analysis'!$C$14</definedName>
    <definedName name="solver_pre" localSheetId="4" hidden="1">0.000001</definedName>
    <definedName name="solver_rbv" localSheetId="4" hidden="1">1</definedName>
    <definedName name="solver_rel1" localSheetId="4" hidden="1">1</definedName>
    <definedName name="solver_rel2" localSheetId="4" hidden="1">1</definedName>
    <definedName name="solver_rhs1" localSheetId="4" hidden="1">0.1</definedName>
    <definedName name="solver_rhs2" localSheetId="4" hidden="1">0.1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7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3</definedName>
    <definedName name="solver_val" localSheetId="4" hidden="1">640000</definedName>
    <definedName name="solver_ver" localSheetId="4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C10" i="3"/>
  <c r="C11" i="3"/>
  <c r="C12" i="3"/>
  <c r="C13" i="3"/>
  <c r="C377" i="19"/>
  <c r="C393" i="19"/>
  <c r="C409" i="19"/>
  <c r="C425" i="19"/>
  <c r="C441" i="19"/>
  <c r="C457" i="19"/>
  <c r="C378" i="19"/>
  <c r="C394" i="19"/>
  <c r="C410" i="19"/>
  <c r="C426" i="19"/>
  <c r="C442" i="19"/>
  <c r="C458" i="19"/>
  <c r="C379" i="19"/>
  <c r="C395" i="19"/>
  <c r="C411" i="19"/>
  <c r="C427" i="19"/>
  <c r="C443" i="19"/>
  <c r="C380" i="19"/>
  <c r="C396" i="19"/>
  <c r="C412" i="19"/>
  <c r="C428" i="19"/>
  <c r="C444" i="19"/>
  <c r="C381" i="19"/>
  <c r="C397" i="19"/>
  <c r="C413" i="19"/>
  <c r="C429" i="19"/>
  <c r="C445" i="19"/>
  <c r="C382" i="19"/>
  <c r="C398" i="19"/>
  <c r="C414" i="19"/>
  <c r="C430" i="19"/>
  <c r="C446" i="19"/>
  <c r="C367" i="19"/>
  <c r="C383" i="19"/>
  <c r="C399" i="19"/>
  <c r="C415" i="19"/>
  <c r="C431" i="19"/>
  <c r="C447" i="19"/>
  <c r="C368" i="19"/>
  <c r="C384" i="19"/>
  <c r="C400" i="19"/>
  <c r="C416" i="19"/>
  <c r="C432" i="19"/>
  <c r="C448" i="19"/>
  <c r="C369" i="19"/>
  <c r="C385" i="19"/>
  <c r="C401" i="19"/>
  <c r="C417" i="19"/>
  <c r="C433" i="19"/>
  <c r="C449" i="19"/>
  <c r="C370" i="19"/>
  <c r="C386" i="19"/>
  <c r="C402" i="19"/>
  <c r="C418" i="19"/>
  <c r="C434" i="19"/>
  <c r="C450" i="19"/>
  <c r="C371" i="19"/>
  <c r="C387" i="19"/>
  <c r="C403" i="19"/>
  <c r="C419" i="19"/>
  <c r="C435" i="19"/>
  <c r="C451" i="19"/>
  <c r="C372" i="19"/>
  <c r="C388" i="19"/>
  <c r="C404" i="19"/>
  <c r="C420" i="19"/>
  <c r="C436" i="19"/>
  <c r="C452" i="19"/>
  <c r="C373" i="19"/>
  <c r="C389" i="19"/>
  <c r="C405" i="19"/>
  <c r="C421" i="19"/>
  <c r="C437" i="19"/>
  <c r="C453" i="19"/>
  <c r="C374" i="19"/>
  <c r="C390" i="19"/>
  <c r="C406" i="19"/>
  <c r="C422" i="19"/>
  <c r="C438" i="19"/>
  <c r="C454" i="19"/>
  <c r="C375" i="19"/>
  <c r="C391" i="19"/>
  <c r="C407" i="19"/>
  <c r="C423" i="19"/>
  <c r="C439" i="19"/>
  <c r="C455" i="19"/>
  <c r="C376" i="19"/>
  <c r="C392" i="19"/>
  <c r="C408" i="19"/>
  <c r="C424" i="19"/>
  <c r="C440" i="19"/>
  <c r="C456" i="19"/>
  <c r="C14" i="3" l="1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E456" i="19"/>
  <c r="E423" i="19"/>
  <c r="E390" i="19"/>
  <c r="E452" i="19"/>
  <c r="E419" i="19"/>
  <c r="E386" i="19"/>
  <c r="E448" i="19"/>
  <c r="D415" i="19"/>
  <c r="D382" i="19"/>
  <c r="E412" i="19"/>
  <c r="E458" i="19"/>
  <c r="E425" i="19"/>
  <c r="D416" i="19"/>
  <c r="E426" i="19"/>
  <c r="D393" i="19"/>
  <c r="E371" i="19"/>
  <c r="D413" i="19"/>
  <c r="D410" i="19"/>
  <c r="D446" i="19"/>
  <c r="E394" i="19"/>
  <c r="D456" i="19"/>
  <c r="D423" i="19"/>
  <c r="D390" i="19"/>
  <c r="D452" i="19"/>
  <c r="D419" i="19"/>
  <c r="D386" i="19"/>
  <c r="D448" i="19"/>
  <c r="E415" i="19"/>
  <c r="E382" i="19"/>
  <c r="D412" i="19"/>
  <c r="D458" i="19"/>
  <c r="D425" i="19"/>
  <c r="D420" i="19"/>
  <c r="E380" i="19"/>
  <c r="D380" i="19"/>
  <c r="E408" i="19"/>
  <c r="D367" i="19"/>
  <c r="E377" i="19"/>
  <c r="E421" i="19"/>
  <c r="D454" i="19"/>
  <c r="E417" i="19"/>
  <c r="E405" i="19"/>
  <c r="D368" i="19"/>
  <c r="E401" i="19"/>
  <c r="D378" i="19"/>
  <c r="D414" i="19"/>
  <c r="D389" i="19"/>
  <c r="E406" i="19"/>
  <c r="D373" i="19"/>
  <c r="D441" i="19"/>
  <c r="E440" i="19"/>
  <c r="E407" i="19"/>
  <c r="E374" i="19"/>
  <c r="D436" i="19"/>
  <c r="E403" i="19"/>
  <c r="E370" i="19"/>
  <c r="D432" i="19"/>
  <c r="D399" i="19"/>
  <c r="E445" i="19"/>
  <c r="E396" i="19"/>
  <c r="E442" i="19"/>
  <c r="E409" i="19"/>
  <c r="E387" i="19"/>
  <c r="D429" i="19"/>
  <c r="D426" i="19"/>
  <c r="E375" i="19"/>
  <c r="D400" i="19"/>
  <c r="E443" i="19"/>
  <c r="D417" i="19"/>
  <c r="D392" i="19"/>
  <c r="D427" i="19"/>
  <c r="D401" i="19"/>
  <c r="D438" i="19"/>
  <c r="D411" i="19"/>
  <c r="D385" i="19"/>
  <c r="E395" i="19"/>
  <c r="D444" i="19"/>
  <c r="E402" i="19"/>
  <c r="D439" i="19"/>
  <c r="D440" i="19"/>
  <c r="D407" i="19"/>
  <c r="D374" i="19"/>
  <c r="E436" i="19"/>
  <c r="D403" i="19"/>
  <c r="D370" i="19"/>
  <c r="E432" i="19"/>
  <c r="E399" i="19"/>
  <c r="D445" i="19"/>
  <c r="D396" i="19"/>
  <c r="D442" i="19"/>
  <c r="D409" i="19"/>
  <c r="D449" i="19"/>
  <c r="E393" i="19"/>
  <c r="D404" i="19"/>
  <c r="D377" i="19"/>
  <c r="D384" i="19"/>
  <c r="D450" i="19"/>
  <c r="E438" i="19"/>
  <c r="E378" i="19"/>
  <c r="E430" i="19"/>
  <c r="D447" i="19"/>
  <c r="E385" i="19"/>
  <c r="D398" i="19"/>
  <c r="D402" i="19"/>
  <c r="E424" i="19"/>
  <c r="E391" i="19"/>
  <c r="E453" i="19"/>
  <c r="D383" i="19"/>
  <c r="E437" i="19"/>
  <c r="E392" i="19"/>
  <c r="E427" i="19"/>
  <c r="E397" i="19"/>
  <c r="D372" i="19"/>
  <c r="D430" i="19"/>
  <c r="D434" i="19"/>
  <c r="E422" i="19"/>
  <c r="D418" i="19"/>
  <c r="E435" i="19"/>
  <c r="E398" i="19"/>
  <c r="D424" i="19"/>
  <c r="D391" i="19"/>
  <c r="D453" i="19"/>
  <c r="E420" i="19"/>
  <c r="D387" i="19"/>
  <c r="E449" i="19"/>
  <c r="E416" i="19"/>
  <c r="E383" i="19"/>
  <c r="E429" i="19"/>
  <c r="E433" i="19"/>
  <c r="E410" i="19"/>
  <c r="E454" i="19"/>
  <c r="D397" i="19"/>
  <c r="E388" i="19"/>
  <c r="D394" i="19"/>
  <c r="E434" i="19"/>
  <c r="E411" i="19"/>
  <c r="E372" i="19"/>
  <c r="E381" i="19"/>
  <c r="E451" i="19"/>
  <c r="E444" i="19"/>
  <c r="D422" i="19"/>
  <c r="E428" i="19"/>
  <c r="D406" i="19"/>
  <c r="D379" i="19"/>
  <c r="E418" i="19"/>
  <c r="D408" i="19"/>
  <c r="D375" i="19"/>
  <c r="D437" i="19"/>
  <c r="E404" i="19"/>
  <c r="D371" i="19"/>
  <c r="D433" i="19"/>
  <c r="E400" i="19"/>
  <c r="E367" i="19"/>
  <c r="E413" i="19"/>
  <c r="D443" i="19"/>
  <c r="D388" i="19"/>
  <c r="D421" i="19"/>
  <c r="E446" i="19"/>
  <c r="E376" i="19"/>
  <c r="D381" i="19"/>
  <c r="E368" i="19"/>
  <c r="E455" i="19"/>
  <c r="D451" i="19"/>
  <c r="D457" i="19"/>
  <c r="D431" i="19"/>
  <c r="E379" i="19"/>
  <c r="E441" i="19"/>
  <c r="E369" i="19"/>
  <c r="E450" i="19"/>
  <c r="D405" i="19"/>
  <c r="E389" i="19"/>
  <c r="E447" i="19"/>
  <c r="D395" i="19"/>
  <c r="D369" i="19"/>
  <c r="D435" i="19"/>
  <c r="E384" i="19"/>
  <c r="E439" i="19"/>
  <c r="D376" i="19"/>
  <c r="E457" i="19"/>
  <c r="E414" i="19"/>
  <c r="E373" i="19"/>
  <c r="E431" i="19"/>
  <c r="D428" i="19"/>
  <c r="D455" i="19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<sst xmlns="http://schemas.openxmlformats.org/spreadsheetml/2006/main" count="197" uniqueCount="84">
  <si>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</si>
  <si>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</si>
  <si>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</si>
  <si>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</si>
  <si>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</si>
  <si>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</si>
  <si>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</si>
  <si>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</si>
  <si>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</si>
  <si>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</si>
  <si>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</si>
  <si>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</si>
  <si>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</si>
  <si>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</si>
  <si>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</si>
  <si>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</si>
  <si>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</si>
  <si>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</si>
  <si>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</si>
  <si>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</si>
  <si>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</si>
  <si>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</si>
  <si>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</si>
  <si>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</si>
  <si>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</si>
  <si>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</si>
  <si>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</si>
  <si>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</si>
  <si>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</si>
  <si>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</si>
  <si>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</si>
  <si>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</si>
  <si>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</si>
  <si>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</si>
  <si>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</si>
  <si>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</si>
  <si>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</si>
  <si>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</si>
  <si>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</si>
  <si>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</si>
  <si>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</si>
  <si>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</si>
  <si>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</si>
  <si>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</si>
  <si>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</si>
  <si>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</si>
  <si>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</si>
  <si>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</si>
  <si>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</si>
  <si>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</si>
  <si>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</si>
  <si>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</si>
  <si>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</si>
  <si>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</si>
  <si>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</si>
  <si>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</si>
  <si>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</si>
  <si>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</si>
  <si>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</si>
  <si>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</si>
  <si>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</si>
  <si>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</si>
  <si>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</si>
  <si>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</si>
  <si>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</si>
  <si>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</si>
  <si>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</si>
  <si>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</si>
  <si>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</si>
  <si>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</si>
  <si>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</si>
  <si>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</si>
  <si>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</si>
  <si>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</si>
  <si>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</si>
  <si>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</si>
  <si>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</si>
  <si>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</si>
  <si>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Subham 6G on 08-06-2026
Modified by Subham 6G on 08-06-2026</t>
  </si>
  <si>
    <t>Report Created: 09-06-2026 22:56:19</t>
  </si>
  <si>
    <t>Solution Time: 0.047 Seconds.</t>
  </si>
  <si>
    <t>Iterations: 3 Subproblems: 0</t>
  </si>
  <si>
    <t>$C$4&lt;=0.1</t>
  </si>
  <si>
    <t>$C$5&lt;=0.1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</si>
</sst>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₹&quot;* #,##0_);_(&quot;₹&quot;* \(#,##0\);_(&quot;₹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74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168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B-48C6-AC6F-A7D94DEE7B2B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Sheet4!$C$2:$C$458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3B-48C6-AC6F-A7D94DEE7B2B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Sheet4!$A$2:$A$458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Sheet4!$D$2:$D$458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3B-48C6-AC6F-A7D94DEE7B2B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Sheet4!$A$2:$A$458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Sheet4!$E$2:$E$458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3B-48C6-AC6F-A7D94DEE7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175808"/>
        <c:axId val="814176288"/>
      </c:lineChart>
      <c:catAx>
        <c:axId val="81417580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76288"/>
        <c:crosses val="autoZero"/>
        <c:auto val="1"/>
        <c:lblAlgn val="ctr"/>
        <c:lblOffset val="100"/>
        <c:noMultiLvlLbl val="0"/>
      </c:catAx>
      <c:valAx>
        <c:axId val="81417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7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2202180</xdr:colOff>
      <xdr:row>5</xdr:row>
      <xdr:rowOff>144780</xdr:rowOff>
    </xdr:from>
    <xdr:to>
      <xdr:col>18</xdr:col>
      <xdr:colOff>594360</xdr:colOff>
      <xdr:row>27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A3E11-E78E-118B-06D0-4192AEE31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34B874-CE52-4123-82AD-77174451389B}" name="Table4" displayName="Table4" ref="A1:E458" totalsRowShown="0">
  <autoFilter ref="A1:E458" xr:uid="{3134B874-CE52-4123-82AD-77174451389B}"/>
  <tableColumns count="5">
    <tableColumn id="1" xr3:uid="{F0EC1D20-1EF0-4957-A15A-DC57AD705FD1}" name="Date" dataDxfId="5"/>
    <tableColumn id="2" xr3:uid="{C39A4E71-D3F4-4ADA-B90D-B56F7D336DE6}" name="Job Count"/>
    <tableColumn id="3" xr3:uid="{458242BC-FB6B-4643-B422-C695FAC84B23}" name="Forecast(Job Count)">
      <calculatedColumnFormula>_xlfn.FORECAST.ETS(A2,$B$2:$B$366,$A$2:$A$366,1,1)</calculatedColumnFormula>
    </tableColumn>
    <tableColumn id="4" xr3:uid="{6CAA9605-47A7-4555-B50A-4FBC1DB720C5}" name="Lower Confidence Bound(Job Count)" dataDxfId="4">
      <calculatedColumnFormula>C2-_xlfn.FORECAST.ETS.CONFINT(A2,$B$2:$B$366,$A$2:$A$366,0.95,1,1)</calculatedColumnFormula>
    </tableColumn>
    <tableColumn id="5" xr3:uid="{5D49C1D0-A501-4596-A094-A63FDF974DDE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B1A3-34C4-4142-91C6-A42E74C0CBCC}">
  <dimension ref="A1:E458"/>
  <sheetViews>
    <sheetView topLeftCell="D1" workbookViewId="0">
      <selection activeCell="U22" sqref="U22"/>
    </sheetView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sheetPr>
    <tabColor theme="6" tint="0.39997558519241921"/>
  </sheetPr>
  <dimension ref="A1:B366"/>
  <sheetViews>
    <sheetView topLeftCell="A353" workbookViewId="0">
      <selection activeCell="F367" sqref="F367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sheetPr>
    <tabColor theme="6" tint="0.39997558519241921"/>
  </sheetPr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42AD-7071-462D-9856-948A342F8B01}">
  <sheetPr>
    <tabColor theme="6" tint="0.39997558519241921"/>
  </sheetPr>
  <dimension ref="A1:G29"/>
  <sheetViews>
    <sheetView showGridLines="0" topLeftCell="A10" workbookViewId="0">
      <selection activeCell="F25" sqref="F25"/>
    </sheetView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79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x14ac:dyDescent="0.3">
      <c r="A6" s="7"/>
      <c r="B6" t="s">
        <v>42</v>
      </c>
    </row>
    <row r="7" spans="1:5" x14ac:dyDescent="0.3">
      <c r="A7" s="7"/>
      <c r="B7" t="s">
        <v>80</v>
      </c>
    </row>
    <row r="8" spans="1:5" x14ac:dyDescent="0.3">
      <c r="A8" s="7"/>
      <c r="B8" t="s">
        <v>81</v>
      </c>
    </row>
    <row r="9" spans="1:5" x14ac:dyDescent="0.3">
      <c r="A9" s="7" t="s">
        <v>45</v>
      </c>
    </row>
    <row r="10" spans="1:5" x14ac:dyDescent="0.3">
      <c r="B10" t="s">
        <v>46</v>
      </c>
    </row>
    <row r="11" spans="1:5" x14ac:dyDescent="0.3">
      <c r="B11" t="s">
        <v>47</v>
      </c>
    </row>
    <row r="12" spans="1:5" x14ac:dyDescent="0.3">
      <c r="B12" t="s">
        <v>48</v>
      </c>
    </row>
    <row r="14" spans="1:5" ht="15" thickBot="1" x14ac:dyDescent="0.35">
      <c r="A14" t="s">
        <v>49</v>
      </c>
    </row>
    <row r="15" spans="1:5" ht="15" thickBot="1" x14ac:dyDescent="0.35">
      <c r="B15" s="68" t="s">
        <v>50</v>
      </c>
      <c r="C15" s="68" t="s">
        <v>51</v>
      </c>
      <c r="D15" s="68" t="s">
        <v>52</v>
      </c>
      <c r="E15" s="68" t="s">
        <v>53</v>
      </c>
    </row>
    <row r="16" spans="1:5" ht="15" thickBot="1" x14ac:dyDescent="0.35">
      <c r="B16" s="67" t="s">
        <v>29</v>
      </c>
      <c r="C16" s="67" t="s">
        <v>35</v>
      </c>
      <c r="D16" s="70">
        <v>533467.46923008002</v>
      </c>
      <c r="E16" s="70">
        <v>640000.31334873906</v>
      </c>
    </row>
    <row r="19" spans="1:7" ht="15" thickBot="1" x14ac:dyDescent="0.35">
      <c r="A19" t="s">
        <v>54</v>
      </c>
    </row>
    <row r="20" spans="1:7" ht="15" thickBot="1" x14ac:dyDescent="0.35">
      <c r="B20" s="68" t="s">
        <v>50</v>
      </c>
      <c r="C20" s="68" t="s">
        <v>51</v>
      </c>
      <c r="D20" s="68" t="s">
        <v>52</v>
      </c>
      <c r="E20" s="68" t="s">
        <v>53</v>
      </c>
      <c r="F20" s="68" t="s">
        <v>55</v>
      </c>
    </row>
    <row r="21" spans="1:7" x14ac:dyDescent="0.3">
      <c r="B21" s="69" t="s">
        <v>60</v>
      </c>
      <c r="C21" s="69" t="s">
        <v>15</v>
      </c>
      <c r="D21" s="71">
        <v>0.05</v>
      </c>
      <c r="E21" s="71">
        <v>0.1</v>
      </c>
      <c r="F21" s="69" t="s">
        <v>61</v>
      </c>
    </row>
    <row r="22" spans="1:7" ht="15" thickBot="1" x14ac:dyDescent="0.35">
      <c r="B22" s="67" t="s">
        <v>62</v>
      </c>
      <c r="C22" s="67" t="s">
        <v>16</v>
      </c>
      <c r="D22" s="72">
        <v>8.0000000000000002E-3</v>
      </c>
      <c r="E22" s="72">
        <v>7.584460857528709E-2</v>
      </c>
      <c r="F22" s="67" t="s">
        <v>61</v>
      </c>
    </row>
    <row r="25" spans="1:7" ht="15" thickBot="1" x14ac:dyDescent="0.35">
      <c r="A25" t="s">
        <v>56</v>
      </c>
    </row>
    <row r="26" spans="1:7" ht="15" thickBot="1" x14ac:dyDescent="0.35">
      <c r="B26" s="68" t="s">
        <v>50</v>
      </c>
      <c r="C26" s="68" t="s">
        <v>51</v>
      </c>
      <c r="D26" s="68" t="s">
        <v>57</v>
      </c>
      <c r="E26" s="68" t="s">
        <v>58</v>
      </c>
      <c r="F26" s="68" t="s">
        <v>59</v>
      </c>
      <c r="G26" s="68" t="s">
        <v>8</v>
      </c>
    </row>
    <row r="27" spans="1:7" x14ac:dyDescent="0.3">
      <c r="B27" s="69" t="s">
        <v>29</v>
      </c>
      <c r="C27" s="69" t="s">
        <v>35</v>
      </c>
      <c r="D27" s="73">
        <v>640000.31334873906</v>
      </c>
      <c r="E27" s="69" t="s">
        <v>63</v>
      </c>
      <c r="F27" s="69" t="s">
        <v>64</v>
      </c>
      <c r="G27" s="69">
        <v>0</v>
      </c>
    </row>
    <row r="28" spans="1:7" x14ac:dyDescent="0.3">
      <c r="B28" s="69" t="s">
        <v>60</v>
      </c>
      <c r="C28" s="69" t="s">
        <v>15</v>
      </c>
      <c r="D28" s="71">
        <v>0.1</v>
      </c>
      <c r="E28" s="69" t="s">
        <v>82</v>
      </c>
      <c r="F28" s="69" t="s">
        <v>64</v>
      </c>
      <c r="G28" s="69">
        <v>0</v>
      </c>
    </row>
    <row r="29" spans="1:7" ht="15" thickBot="1" x14ac:dyDescent="0.35">
      <c r="B29" s="67" t="s">
        <v>62</v>
      </c>
      <c r="C29" s="67" t="s">
        <v>16</v>
      </c>
      <c r="D29" s="72">
        <v>7.584460857528709E-2</v>
      </c>
      <c r="E29" s="67" t="s">
        <v>83</v>
      </c>
      <c r="F29" s="67" t="s">
        <v>66</v>
      </c>
      <c r="G29" s="67">
        <v>2.4155391424712916E-2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sheetPr>
    <tabColor theme="6" tint="0.39997558519241921"/>
  </sheetPr>
  <dimension ref="B1:H14"/>
  <sheetViews>
    <sheetView tabSelected="1" zoomScaleNormal="100" workbookViewId="0">
      <selection activeCell="E12" sqref="E12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0.1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7.584460857528709E-2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4" thickBot="1" x14ac:dyDescent="0.3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">
      <c r="B7" s="65" t="s">
        <v>5</v>
      </c>
      <c r="C7" s="66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110000.00000000001</v>
      </c>
    </row>
    <row r="10" spans="2:8" x14ac:dyDescent="0.3">
      <c r="B10" s="4">
        <v>1</v>
      </c>
      <c r="C10" s="2">
        <f>(base*(1+raise)^B10)*(1+bonus)</f>
        <v>118342.90694328159</v>
      </c>
    </row>
    <row r="11" spans="2:8" x14ac:dyDescent="0.3">
      <c r="B11" s="4">
        <v>2</v>
      </c>
      <c r="C11" s="2">
        <f>(base*(1+raise)^B11)*(1+bonus)</f>
        <v>127318.57839805639</v>
      </c>
    </row>
    <row r="12" spans="2:8" x14ac:dyDescent="0.3">
      <c r="B12" s="4">
        <v>3</v>
      </c>
      <c r="C12" s="2">
        <f>(base*(1+raise)^B12)*(1+bonus)</f>
        <v>136975.006141019</v>
      </c>
    </row>
    <row r="13" spans="2:8" ht="15" thickBot="1" x14ac:dyDescent="0.35">
      <c r="B13" s="36">
        <v>4</v>
      </c>
      <c r="C13" s="37">
        <f>(base*(1+raise)^B13)*(1+bonus)</f>
        <v>147363.82186638209</v>
      </c>
    </row>
    <row r="14" spans="2:8" ht="15.6" thickTop="1" thickBot="1" x14ac:dyDescent="0.35">
      <c r="B14" s="34" t="s">
        <v>3</v>
      </c>
      <c r="C14" s="35">
        <f>SUM(C9:C13)</f>
        <v>640000.31334873906</v>
      </c>
    </row>
  </sheetData>
  <scenarios current="2" show="2" sqref="C9:C14">
    <scenario name="Job 1" locked="1" count="3" user="Subham 6G" comment="Created by Subham 6G on 08-06-2026_x000a_Modified by Subham 6G on 08-06-2026">
      <inputCells r="C3" val="100000" numFmtId="165"/>
      <inputCells r="C4" val="0.1" numFmtId="9"/>
      <inputCells r="C5" val="0.015" numFmtId="166"/>
    </scenario>
    <scenario name="Job 2" locked="1" count="3" user="Subham 6G" comment="Created by Subham 6G on 08-06-2026_x000a_Modified by Subham 6G on 08-06-2026">
      <inputCells r="C3" val="80000" numFmtId="165"/>
      <inputCells r="C4" val="0.15" numFmtId="9"/>
      <inputCells r="C5" val="0.012" numFmtId="166"/>
    </scenario>
    <scenario name="Job 3" locked="1" count="3" user="Subham 6G" comment="Created by Subham 6G on 08-06-2026_x000a_Modified by Subham 6G on 08-06-2026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tabColor theme="6" tint="0.39997558519241921"/>
    <outlinePr summaryBelow="0"/>
  </sheetPr>
  <dimension ref="B1:G18"/>
  <sheetViews>
    <sheetView showGridLines="0" workbookViewId="0">
      <selection activeCell="G21" sqref="G21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sheetPr>
    <tabColor theme="6" tint="0.39997558519241921"/>
  </sheetPr>
  <dimension ref="A1:G29"/>
  <sheetViews>
    <sheetView showGridLines="0" workbookViewId="0">
      <selection activeCell="G21" sqref="G21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3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sheetPr>
    <tabColor theme="6" tint="0.39997558519241921"/>
  </sheetPr>
  <dimension ref="A1:J14"/>
  <sheetViews>
    <sheetView showGridLines="0" workbookViewId="0">
      <selection activeCell="G21" sqref="G21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640000.63710000005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3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E4F2-F2A1-4469-9621-28761B596854}">
  <sheetPr>
    <tabColor theme="6" tint="0.39997558519241921"/>
    <outlinePr summaryBelow="0"/>
  </sheetPr>
  <dimension ref="B1:G18"/>
  <sheetViews>
    <sheetView showGridLines="0" workbookViewId="0">
      <selection activeCell="G15" sqref="G15"/>
    </sheetView>
  </sheetViews>
  <sheetFormatPr defaultRowHeight="14.4" outlineLevelRow="1" outlineLevelCol="1" x14ac:dyDescent="0.3"/>
  <cols>
    <col min="3" max="3" width="10.332031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43.2" hidden="1" outlineLevel="1" x14ac:dyDescent="0.3">
      <c r="B4" s="24"/>
      <c r="C4" s="24"/>
      <c r="E4" s="32" t="s">
        <v>78</v>
      </c>
      <c r="F4" s="32" t="s">
        <v>78</v>
      </c>
      <c r="G4" s="32" t="s">
        <v>78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120000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0.5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8.0000000000000002E-3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180000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181440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182891.51999999999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184354.65216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185829.48937728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914515.66153727996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5237D-7EEC-4F7E-913D-20E5E6D7B6AC}">
  <sheetPr>
    <tabColor theme="6" tint="0.39997558519241921"/>
  </sheetPr>
  <dimension ref="A1"/>
  <sheetViews>
    <sheetView workbookViewId="0">
      <selection activeCell="G29" sqref="G2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Sheet4</vt:lpstr>
      <vt:lpstr>Forecast_Original</vt:lpstr>
      <vt:lpstr>Forecast_Final</vt:lpstr>
      <vt:lpstr>Answer Report 1</vt:lpstr>
      <vt:lpstr>What-If_Analysis</vt:lpstr>
      <vt:lpstr>Scenario_Summary</vt:lpstr>
      <vt:lpstr>Answer_Report</vt:lpstr>
      <vt:lpstr>Limits_Report</vt:lpstr>
      <vt:lpstr>Scenario Summary</vt:lpstr>
      <vt:lpstr>Sheet1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SuBhAm 6G</cp:lastModifiedBy>
  <dcterms:created xsi:type="dcterms:W3CDTF">2024-08-08T18:34:47Z</dcterms:created>
  <dcterms:modified xsi:type="dcterms:W3CDTF">2026-06-09T17:32:04Z</dcterms:modified>
</cp:coreProperties>
</file>